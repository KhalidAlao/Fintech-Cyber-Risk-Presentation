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lidalao/Desktop/CyberRisk_Portfolio_NexPay/01_Risk_Register/"/>
    </mc:Choice>
  </mc:AlternateContent>
  <xr:revisionPtr revIDLastSave="0" documentId="13_ncr:1_{BAE19409-0A93-144E-93CF-D0306C470EC2}" xr6:coauthVersionLast="47" xr6:coauthVersionMax="47" xr10:uidLastSave="{00000000-0000-0000-0000-000000000000}"/>
  <bookViews>
    <workbookView xWindow="1420" yWindow="960" windowWidth="28040" windowHeight="17180" activeTab="1" xr2:uid="{244E91C9-8A7C-2C45-B739-7C5A488975D7}"/>
  </bookViews>
  <sheets>
    <sheet name="Risk_Register_Detailed" sheetId="1" r:id="rId1"/>
    <sheet name="Summary" sheetId="3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/>
</calcChain>
</file>

<file path=xl/sharedStrings.xml><?xml version="1.0" encoding="utf-8"?>
<sst xmlns="http://schemas.openxmlformats.org/spreadsheetml/2006/main" count="147" uniqueCount="104">
  <si>
    <t>Risk ID</t>
  </si>
  <si>
    <t>Risk Category</t>
  </si>
  <si>
    <t>Risk Description</t>
  </si>
  <si>
    <t>Inherent Risk</t>
  </si>
  <si>
    <t>Control Effectiveness</t>
  </si>
  <si>
    <t>Residual Risk</t>
  </si>
  <si>
    <t>Remediation Owner</t>
  </si>
  <si>
    <t>Status</t>
  </si>
  <si>
    <t>Regulatory Mapping</t>
  </si>
  <si>
    <t>Last Updated</t>
  </si>
  <si>
    <t>Cloud Misconfiguration</t>
  </si>
  <si>
    <t>High</t>
  </si>
  <si>
    <t>Identity &amp; Access Mgmt</t>
  </si>
  <si>
    <t>Data Residency</t>
  </si>
  <si>
    <t>Medium</t>
  </si>
  <si>
    <t>Low</t>
  </si>
  <si>
    <t>Insecure APIs</t>
  </si>
  <si>
    <t>Lack of Visibility</t>
  </si>
  <si>
    <t>Insider Threat</t>
  </si>
  <si>
    <t>Likelihood (1-5)</t>
  </si>
  <si>
    <t>Impact (1-5)</t>
  </si>
  <si>
    <t>Control Gap</t>
  </si>
  <si>
    <t>Remediation Target Date</t>
  </si>
  <si>
    <t>Evidence of Progress</t>
  </si>
  <si>
    <t>R‑001</t>
  </si>
  <si>
    <t>Misconfigured S3 bucket (public read) could expose UK customer PII (names, addresses, transaction history).</t>
  </si>
  <si>
    <t>Partially Effective – AWS S3 block public access enabled at org level, but per-bucket overrides possible.</t>
  </si>
  <si>
    <t>Cloud Engineering</t>
  </si>
  <si>
    <t>In Progress</t>
  </si>
  <si>
    <t>NIST CSF PR.IP‑1, UK DPA Art.32</t>
  </si>
  <si>
    <t>02‑Apr‑2026</t>
  </si>
  <si>
    <t>No automated CSPM; bucket-level audit disabled</t>
  </si>
  <si>
    <t>CSPM PoC started with AWS Config</t>
  </si>
  <si>
    <t>R‑002</t>
  </si>
  <si>
    <t>Over‑privileged IAM roles: 15 DevOps engineers have admin access to production AWS account.</t>
  </si>
  <si>
    <t>Ineffective – No automated least-privilege; manual reviews only once per quarter.</t>
  </si>
  <si>
    <t>IAM Team</t>
  </si>
  <si>
    <t>ISO 27001 A.9.2, PCI DSS 7.1</t>
  </si>
  <si>
    <t>No CI/CD for IAM policy generation</t>
  </si>
  <si>
    <t>IAM roles inventoried; starting access analysis</t>
  </si>
  <si>
    <t>R‑003</t>
  </si>
  <si>
    <t>Replication pipeline may temporarily store UK customer data in AWS eu‑west‑1 (Ireland) despite UK region requirement.</t>
  </si>
  <si>
    <t>Partially Effective – Data classification incomplete; legal review ongoing.</t>
  </si>
  <si>
    <t>Data Governance</t>
  </si>
  <si>
    <t>UK DPA / GDPR (Art. 44‑49)</t>
  </si>
  <si>
    <t>No automated data flow mapping tool</t>
  </si>
  <si>
    <t>Data map drafted for 5 core services</t>
  </si>
  <si>
    <t>R‑004</t>
  </si>
  <si>
    <t>Vendor Lock‑in</t>
  </si>
  <si>
    <t>Heavy use of AWS Lambda, DynamoDB, and Step Functions could make migration to another cloud costly and slow.</t>
  </si>
  <si>
    <t>Effective – Multi‑cloud strategy documented; containerisation of stateless services underway.</t>
  </si>
  <si>
    <t>Architecture</t>
  </si>
  <si>
    <t>Mitigated</t>
  </si>
  <si>
    <t>N/A (business risk)</t>
  </si>
  <si>
    <t>None – architecture already decoupling</t>
  </si>
  <si>
    <t>40% of services containerised</t>
  </si>
  <si>
    <t>R‑005</t>
  </si>
  <si>
    <t>New payment initiation API (REST) not fully scanned for OWASP Top 10 vulnerabilities (e.g., injection, broken auth).</t>
  </si>
  <si>
    <t>Partially Effective – SAST in CI/CD, but DAST not integrated; manual pen tests quarterly.</t>
  </si>
  <si>
    <t>Product Security</t>
  </si>
  <si>
    <t>PCI DSS 6.5, NIST CSF PR.IP‑1</t>
  </si>
  <si>
    <t>DAST pipeline missing; no rate limiting</t>
  </si>
  <si>
    <t>DAST tool selected (OWASP ZAP)</t>
  </si>
  <si>
    <t>R‑006</t>
  </si>
  <si>
    <t>Cloud logs (CloudTrail, VPC Flow Logs) not fully ingested into central SIEM (Splunk).</t>
  </si>
  <si>
    <t>Partially Effective – Logging enabled but only for 7 days; no real-time alerting.</t>
  </si>
  <si>
    <t>SecOps</t>
  </si>
  <si>
    <t>NIST CSF DE.AE‑3, PCI DSS 10.2</t>
  </si>
  <si>
    <t>SIEM ingestion licence exhausted</t>
  </si>
  <si>
    <t>Increased log retention to 30 days</t>
  </si>
  <si>
    <t>R‑007</t>
  </si>
  <si>
    <t>Privileged access to AWS console not continuously monitored; no UEBA for anomalous behaviour.</t>
  </si>
  <si>
    <t>Partially Effective – Session recording enabled for 5 critical roles; no automated anomaly detection.</t>
  </si>
  <si>
    <t>Not Started</t>
  </si>
  <si>
    <t>NIST CSF PR.AC‑5</t>
  </si>
  <si>
    <t>No UEBA tool; access reviews annual only</t>
  </si>
  <si>
    <t>Initial user behaviour baseline defined</t>
  </si>
  <si>
    <t>R‑008</t>
  </si>
  <si>
    <t>Backup &amp; Recovery</t>
  </si>
  <si>
    <t>Automated backups for DynamoDB enabled but not tested for restore within RPO (15 min) / RTO (4 hours).</t>
  </si>
  <si>
    <t>Ineffective – Backups exist but restore test never performed.</t>
  </si>
  <si>
    <t>NIST CSF RC.RP‑1, FCA SYSC 15A</t>
  </si>
  <si>
    <t>No restore testing automation</t>
  </si>
  <si>
    <t>First restore test scheduled 20‑Jun</t>
  </si>
  <si>
    <t>R‑009</t>
  </si>
  <si>
    <t>Cryptography &amp; Key Mgmt</t>
  </si>
  <si>
    <t>Encryption keys for RDS databases stored in AWS KMS, but key rotation policy is manual (90 days).</t>
  </si>
  <si>
    <t>Effective – KMS automatic rotation enabled (every 365 days) but not aligned to internal 90‑day policy.</t>
  </si>
  <si>
    <t>Security Architecture</t>
  </si>
  <si>
    <t>PCI DSS 3.6, NIST CSF PR.DS‑2</t>
  </si>
  <si>
    <t>Internal policy out of sync with KMS capability</t>
  </si>
  <si>
    <t>Draft policy update under review</t>
  </si>
  <si>
    <t>R‑010</t>
  </si>
  <si>
    <t>Supply Chain / Third‑Party</t>
  </si>
  <si>
    <t>Cloud provider’s UK region may be affected by upstream SaaS dependencies (e.g., monitoring vendor, CDN).</t>
  </si>
  <si>
    <t>Partially Effective – Supplier security reviews done annually; no real‑time dependency monitoring.</t>
  </si>
  <si>
    <t>Third‑Party Risk</t>
  </si>
  <si>
    <t>NIST CSF ID.SC‑2, EBA Guidelines</t>
  </si>
  <si>
    <t>No dependency monitoring tool</t>
  </si>
  <si>
    <t>Mapped top 10 critical dependencies</t>
  </si>
  <si>
    <t>Total High Residual Risks</t>
  </si>
  <si>
    <t>Row Labels</t>
  </si>
  <si>
    <t>Grand Total</t>
  </si>
  <si>
    <t>Count of Risk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</si>
</sst>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name val="Helvetica Neue"/>
      <family val="2"/>
    </font>
    <font>
      <b/>
      <sz val="16"/>
      <name val="Helvetica Neue"/>
      <family val="2"/>
    </font>
    <font>
      <u/>
      <sz val="12"/>
      <color theme="10"/>
      <name val="Aptos Narrow"/>
      <family val="2"/>
      <scheme val="minor"/>
    </font>
    <font>
      <u/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lid Alao" refreshedDate="46115.063717824072" createdVersion="8" refreshedVersion="8" minRefreshableVersion="3" recordCount="10" xr:uid="{66068CA2-04B9-C243-ACD0-B4161B87CFE9}">
  <cacheSource type="worksheet">
    <worksheetSource ref="A1:O11" sheet="Risk_Register_Detailed"/>
  </cacheSource>
  <cacheFields count="15">
    <cacheField name="Risk ID" numFmtId="0">
      <sharedItems/>
    </cacheField>
    <cacheField name="Risk Category" numFmtId="0">
      <sharedItems/>
    </cacheField>
    <cacheField name="Risk Description" numFmtId="0">
      <sharedItems/>
    </cacheField>
    <cacheField name="Inherent Risk" numFmtId="0">
      <sharedItems/>
    </cacheField>
    <cacheField name="Control Effectiveness" numFmtId="0">
      <sharedItems/>
    </cacheField>
    <cacheField name="Residual Risk" numFmtId="0">
      <sharedItems/>
    </cacheField>
    <cacheField name="Remediation Owner" numFmtId="0">
      <sharedItems count="8">
        <s v="Cloud Engineering"/>
        <s v="IAM Team"/>
        <s v="Data Governance"/>
        <s v="Architecture"/>
        <s v="Product Security"/>
        <s v="SecOps"/>
        <s v="Security Architecture"/>
        <s v="Third‑Party Risk"/>
      </sharedItems>
    </cacheField>
    <cacheField name="Status" numFmtId="0">
      <sharedItems/>
    </cacheField>
    <cacheField name="Regulatory Mapping" numFmtId="0">
      <sharedItems/>
    </cacheField>
    <cacheField name="Last Updated" numFmtId="0">
      <sharedItems/>
    </cacheField>
    <cacheField name="Likelihood (1-5)" numFmtId="0">
      <sharedItems containsSemiMixedTypes="0" containsString="0" containsNumber="1" containsInteger="1" minValue="2" maxValue="5"/>
    </cacheField>
    <cacheField name="Impact (1-5)" numFmtId="0">
      <sharedItems containsSemiMixedTypes="0" containsString="0" containsNumber="1" containsInteger="1" minValue="2" maxValue="5"/>
    </cacheField>
    <cacheField name="Control Gap" numFmtId="0">
      <sharedItems/>
    </cacheField>
    <cacheField name="Remediation Target Date" numFmtId="0">
      <sharedItems/>
    </cacheField>
    <cacheField name="Evidence of Prog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R‑001"/>
    <s v="Cloud Misconfiguration"/>
    <s v="Misconfigured S3 bucket (public read) could expose UK customer PII (names, addresses, transaction history)."/>
    <s v="High"/>
    <s v="Partially Effective – AWS S3 block public access enabled at org level, but per-bucket overrides possible."/>
    <s v="High"/>
    <x v="0"/>
    <s v="In Progress"/>
    <s v="NIST CSF PR.IP‑1, UK DPA Art.32"/>
    <s v="02‑Apr‑2026"/>
    <n v="4"/>
    <n v="5"/>
    <s v="No automated CSPM; bucket-level audit disabled"/>
    <s v="30‑Jun‑2026"/>
    <s v="CSPM PoC started with AWS Config"/>
  </r>
  <r>
    <s v="R‑002"/>
    <s v="Identity &amp; Access Mgmt"/>
    <s v="Over‑privileged IAM roles: 15 DevOps engineers have admin access to production AWS account."/>
    <s v="High"/>
    <s v="Ineffective – No automated least-privilege; manual reviews only once per quarter."/>
    <s v="High"/>
    <x v="1"/>
    <s v="In Progress"/>
    <s v="ISO 27001 A.9.2, PCI DSS 7.1"/>
    <s v="02‑Apr‑2026"/>
    <n v="5"/>
    <n v="4"/>
    <s v="No CI/CD for IAM policy generation"/>
    <s v="15‑Jul‑2026"/>
    <s v="IAM roles inventoried; starting access analysis"/>
  </r>
  <r>
    <s v="R‑003"/>
    <s v="Data Residency"/>
    <s v="Replication pipeline may temporarily store UK customer data in AWS eu‑west‑1 (Ireland) despite UK region requirement."/>
    <s v="Medium"/>
    <s v="Partially Effective – Data classification incomplete; legal review ongoing."/>
    <s v="Medium"/>
    <x v="2"/>
    <s v="In Progress"/>
    <s v="UK DPA / GDPR (Art. 44‑49)"/>
    <s v="02‑Apr‑2026"/>
    <n v="3"/>
    <n v="4"/>
    <s v="No automated data flow mapping tool"/>
    <s v="30‑Aug‑2026"/>
    <s v="Data map drafted for 5 core services"/>
  </r>
  <r>
    <s v="R‑004"/>
    <s v="Vendor Lock‑in"/>
    <s v="Heavy use of AWS Lambda, DynamoDB, and Step Functions could make migration to another cloud costly and slow."/>
    <s v="Low"/>
    <s v="Effective – Multi‑cloud strategy documented; containerisation of stateless services underway."/>
    <s v="Low"/>
    <x v="3"/>
    <s v="Mitigated"/>
    <s v="N/A (business risk)"/>
    <s v="02‑Apr‑2026"/>
    <n v="2"/>
    <n v="2"/>
    <s v="None – architecture already decoupling"/>
    <s v="15‑May‑2026"/>
    <s v="40% of services containerised"/>
  </r>
  <r>
    <s v="R‑005"/>
    <s v="Insecure APIs"/>
    <s v="New payment initiation API (REST) not fully scanned for OWASP Top 10 vulnerabilities (e.g., injection, broken auth)."/>
    <s v="High"/>
    <s v="Partially Effective – SAST in CI/CD, but DAST not integrated; manual pen tests quarterly."/>
    <s v="High"/>
    <x v="4"/>
    <s v="In Progress"/>
    <s v="PCI DSS 6.5, NIST CSF PR.IP‑1"/>
    <s v="02‑Apr‑2026"/>
    <n v="4"/>
    <n v="5"/>
    <s v="DAST pipeline missing; no rate limiting"/>
    <s v="31‑May‑2026"/>
    <s v="DAST tool selected (OWASP ZAP)"/>
  </r>
  <r>
    <s v="R‑006"/>
    <s v="Lack of Visibility"/>
    <s v="Cloud logs (CloudTrail, VPC Flow Logs) not fully ingested into central SIEM (Splunk)."/>
    <s v="Medium"/>
    <s v="Partially Effective – Logging enabled but only for 7 days; no real-time alerting."/>
    <s v="Medium"/>
    <x v="5"/>
    <s v="In Progress"/>
    <s v="NIST CSF DE.AE‑3, PCI DSS 10.2"/>
    <s v="02‑Apr‑2026"/>
    <n v="3"/>
    <n v="3"/>
    <s v="SIEM ingestion licence exhausted"/>
    <s v="30‑Jun‑2026"/>
    <s v="Increased log retention to 30 days"/>
  </r>
  <r>
    <s v="R‑007"/>
    <s v="Insider Threat"/>
    <s v="Privileged access to AWS console not continuously monitored; no UEBA for anomalous behaviour."/>
    <s v="Medium"/>
    <s v="Partially Effective – Session recording enabled for 5 critical roles; no automated anomaly detection."/>
    <s v="Medium"/>
    <x v="1"/>
    <s v="Not Started"/>
    <s v="NIST CSF PR.AC‑5"/>
    <s v="02‑Apr‑2026"/>
    <n v="3"/>
    <n v="4"/>
    <s v="No UEBA tool; access reviews annual only"/>
    <s v="30‑Sep‑2026"/>
    <s v="Initial user behaviour baseline defined"/>
  </r>
  <r>
    <s v="R‑008"/>
    <s v="Backup &amp; Recovery"/>
    <s v="Automated backups for DynamoDB enabled but not tested for restore within RPO (15 min) / RTO (4 hours)."/>
    <s v="High"/>
    <s v="Ineffective – Backups exist but restore test never performed."/>
    <s v="High"/>
    <x v="0"/>
    <s v="In Progress"/>
    <s v="NIST CSF RC.RP‑1, FCA SYSC 15A"/>
    <s v="02‑Apr‑2026"/>
    <n v="4"/>
    <n v="4"/>
    <s v="No restore testing automation"/>
    <s v="15‑Jun‑2026"/>
    <s v="First restore test scheduled 20‑Jun"/>
  </r>
  <r>
    <s v="R‑009"/>
    <s v="Cryptography &amp; Key Mgmt"/>
    <s v="Encryption keys for RDS databases stored in AWS KMS, but key rotation policy is manual (90 days)."/>
    <s v="Low"/>
    <s v="Effective – KMS automatic rotation enabled (every 365 days) but not aligned to internal 90‑day policy."/>
    <s v="Low"/>
    <x v="6"/>
    <s v="Not Started"/>
    <s v="PCI DSS 3.6, NIST CSF PR.DS‑2"/>
    <s v="02‑Apr‑2026"/>
    <n v="2"/>
    <n v="3"/>
    <s v="Internal policy out of sync with KMS capability"/>
    <s v="31‑Jul‑2026"/>
    <s v="Draft policy update under review"/>
  </r>
  <r>
    <s v="R‑010"/>
    <s v="Supply Chain / Third‑Party"/>
    <s v="Cloud provider’s UK region may be affected by upstream SaaS dependencies (e.g., monitoring vendor, CDN)."/>
    <s v="Medium"/>
    <s v="Partially Effective – Supplier security reviews done annually; no real‑time dependency monitoring."/>
    <s v="Medium"/>
    <x v="7"/>
    <s v="In Progress"/>
    <s v="NIST CSF ID.SC‑2, EBA Guidelines"/>
    <s v="02‑Apr‑2026"/>
    <n v="3"/>
    <n v="3"/>
    <s v="No dependency monitoring tool"/>
    <s v="31‑Aug‑2026"/>
    <s v="Mapped top 10 critical dependenci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96124-597C-7C47-9075-C762CF640B7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3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3"/>
        <item x="0"/>
        <item x="2"/>
        <item x="1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Risk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d.sc/" TargetMode="External"/><Relationship Id="rId2" Type="http://schemas.openxmlformats.org/officeDocument/2006/relationships/hyperlink" Target="https://pr.ac/" TargetMode="External"/><Relationship Id="rId1" Type="http://schemas.openxmlformats.org/officeDocument/2006/relationships/hyperlink" Target="https://de.a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4BD4-3EB3-4E42-9E40-8433DE1B097A}">
  <dimension ref="A1:O11"/>
  <sheetViews>
    <sheetView zoomScale="64" zoomScaleNormal="46" workbookViewId="0">
      <selection activeCell="O25" sqref="O25"/>
    </sheetView>
  </sheetViews>
  <sheetFormatPr baseColWidth="10" defaultRowHeight="16" x14ac:dyDescent="0.2"/>
  <cols>
    <col min="2" max="2" width="19.5" customWidth="1"/>
    <col min="3" max="3" width="26.5" customWidth="1"/>
    <col min="4" max="4" width="19" customWidth="1"/>
    <col min="5" max="5" width="129.83203125" customWidth="1"/>
    <col min="6" max="6" width="19.1640625" customWidth="1"/>
    <col min="7" max="7" width="27.5" customWidth="1"/>
    <col min="8" max="8" width="14.33203125" customWidth="1"/>
    <col min="9" max="9" width="27.33203125" customWidth="1"/>
    <col min="10" max="10" width="18.83203125" customWidth="1"/>
    <col min="11" max="11" width="13.83203125" customWidth="1"/>
    <col min="12" max="12" width="18" customWidth="1"/>
    <col min="13" max="13" width="28.1640625" customWidth="1"/>
    <col min="14" max="14" width="33.33203125" customWidth="1"/>
    <col min="15" max="15" width="20.5" customWidth="1"/>
  </cols>
  <sheetData>
    <row r="1" spans="1:15" ht="2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</row>
    <row r="2" spans="1:15" ht="20" x14ac:dyDescent="0.2">
      <c r="A2" s="1" t="s">
        <v>24</v>
      </c>
      <c r="B2" s="1" t="s">
        <v>10</v>
      </c>
      <c r="C2" s="1" t="s">
        <v>25</v>
      </c>
      <c r="D2" s="1" t="s">
        <v>11</v>
      </c>
      <c r="E2" s="1" t="s">
        <v>26</v>
      </c>
      <c r="F2" s="1" t="s">
        <v>11</v>
      </c>
      <c r="G2" s="1" t="s">
        <v>27</v>
      </c>
      <c r="H2" s="1" t="s">
        <v>28</v>
      </c>
      <c r="I2" s="1" t="s">
        <v>29</v>
      </c>
      <c r="J2" s="1" t="s">
        <v>30</v>
      </c>
      <c r="K2" s="4">
        <v>4</v>
      </c>
      <c r="L2" s="4">
        <v>5</v>
      </c>
      <c r="M2" s="1" t="s">
        <v>31</v>
      </c>
      <c r="N2" s="7">
        <v>46203</v>
      </c>
      <c r="O2" s="1" t="s">
        <v>32</v>
      </c>
    </row>
    <row r="3" spans="1:15" ht="20" x14ac:dyDescent="0.2">
      <c r="A3" s="1" t="s">
        <v>33</v>
      </c>
      <c r="B3" s="1" t="s">
        <v>12</v>
      </c>
      <c r="C3" s="1" t="s">
        <v>34</v>
      </c>
      <c r="D3" s="1" t="s">
        <v>11</v>
      </c>
      <c r="E3" s="1" t="s">
        <v>35</v>
      </c>
      <c r="F3" s="1" t="s">
        <v>11</v>
      </c>
      <c r="G3" s="1" t="s">
        <v>36</v>
      </c>
      <c r="H3" s="1" t="s">
        <v>28</v>
      </c>
      <c r="I3" s="1" t="s">
        <v>37</v>
      </c>
      <c r="J3" s="1" t="s">
        <v>30</v>
      </c>
      <c r="K3" s="4">
        <v>5</v>
      </c>
      <c r="L3" s="4">
        <v>4</v>
      </c>
      <c r="M3" s="1" t="s">
        <v>38</v>
      </c>
      <c r="N3" s="7">
        <v>46218</v>
      </c>
      <c r="O3" s="1" t="s">
        <v>39</v>
      </c>
    </row>
    <row r="4" spans="1:15" ht="20" x14ac:dyDescent="0.2">
      <c r="A4" s="1" t="s">
        <v>40</v>
      </c>
      <c r="B4" s="1" t="s">
        <v>13</v>
      </c>
      <c r="C4" s="1" t="s">
        <v>41</v>
      </c>
      <c r="D4" s="1" t="s">
        <v>14</v>
      </c>
      <c r="E4" s="1" t="s">
        <v>42</v>
      </c>
      <c r="F4" s="1" t="s">
        <v>14</v>
      </c>
      <c r="G4" s="1" t="s">
        <v>43</v>
      </c>
      <c r="H4" s="1" t="s">
        <v>28</v>
      </c>
      <c r="I4" s="1" t="s">
        <v>44</v>
      </c>
      <c r="J4" s="1" t="s">
        <v>30</v>
      </c>
      <c r="K4" s="4">
        <v>3</v>
      </c>
      <c r="L4" s="4">
        <v>4</v>
      </c>
      <c r="M4" s="1" t="s">
        <v>45</v>
      </c>
      <c r="N4" s="7">
        <v>46264</v>
      </c>
      <c r="O4" s="1" t="s">
        <v>46</v>
      </c>
    </row>
    <row r="5" spans="1:15" ht="20" x14ac:dyDescent="0.2">
      <c r="A5" s="1" t="s">
        <v>47</v>
      </c>
      <c r="B5" s="1" t="s">
        <v>48</v>
      </c>
      <c r="C5" s="1" t="s">
        <v>49</v>
      </c>
      <c r="D5" s="1" t="s">
        <v>15</v>
      </c>
      <c r="E5" s="1" t="s">
        <v>50</v>
      </c>
      <c r="F5" s="1" t="s">
        <v>15</v>
      </c>
      <c r="G5" s="1" t="s">
        <v>51</v>
      </c>
      <c r="H5" s="1" t="s">
        <v>52</v>
      </c>
      <c r="I5" s="1" t="s">
        <v>53</v>
      </c>
      <c r="J5" s="1" t="s">
        <v>30</v>
      </c>
      <c r="K5" s="4">
        <v>2</v>
      </c>
      <c r="L5" s="4">
        <v>2</v>
      </c>
      <c r="M5" s="1" t="s">
        <v>54</v>
      </c>
      <c r="N5" s="7">
        <v>46157</v>
      </c>
      <c r="O5" s="1" t="s">
        <v>55</v>
      </c>
    </row>
    <row r="6" spans="1:15" ht="20" x14ac:dyDescent="0.2">
      <c r="A6" s="1" t="s">
        <v>56</v>
      </c>
      <c r="B6" s="1" t="s">
        <v>16</v>
      </c>
      <c r="C6" s="1" t="s">
        <v>57</v>
      </c>
      <c r="D6" s="1" t="s">
        <v>11</v>
      </c>
      <c r="E6" s="1" t="s">
        <v>58</v>
      </c>
      <c r="F6" s="1" t="s">
        <v>11</v>
      </c>
      <c r="G6" s="1" t="s">
        <v>59</v>
      </c>
      <c r="H6" s="1" t="s">
        <v>28</v>
      </c>
      <c r="I6" s="1" t="s">
        <v>60</v>
      </c>
      <c r="J6" s="1" t="s">
        <v>30</v>
      </c>
      <c r="K6" s="4">
        <v>4</v>
      </c>
      <c r="L6" s="4">
        <v>5</v>
      </c>
      <c r="M6" s="1" t="s">
        <v>61</v>
      </c>
      <c r="N6" s="7">
        <v>46173</v>
      </c>
      <c r="O6" s="1" t="s">
        <v>62</v>
      </c>
    </row>
    <row r="7" spans="1:15" ht="20" x14ac:dyDescent="0.2">
      <c r="A7" s="1" t="s">
        <v>63</v>
      </c>
      <c r="B7" s="1" t="s">
        <v>17</v>
      </c>
      <c r="C7" s="1" t="s">
        <v>64</v>
      </c>
      <c r="D7" s="1" t="s">
        <v>14</v>
      </c>
      <c r="E7" s="1" t="s">
        <v>65</v>
      </c>
      <c r="F7" s="1" t="s">
        <v>14</v>
      </c>
      <c r="G7" s="1" t="s">
        <v>66</v>
      </c>
      <c r="H7" s="1" t="s">
        <v>28</v>
      </c>
      <c r="I7" s="3" t="s">
        <v>67</v>
      </c>
      <c r="J7" s="1" t="s">
        <v>30</v>
      </c>
      <c r="K7" s="4">
        <v>3</v>
      </c>
      <c r="L7" s="4">
        <v>3</v>
      </c>
      <c r="M7" s="1" t="s">
        <v>68</v>
      </c>
      <c r="N7" s="7">
        <v>46203</v>
      </c>
      <c r="O7" s="1" t="s">
        <v>69</v>
      </c>
    </row>
    <row r="8" spans="1:15" ht="20" x14ac:dyDescent="0.2">
      <c r="A8" s="1" t="s">
        <v>70</v>
      </c>
      <c r="B8" s="1" t="s">
        <v>18</v>
      </c>
      <c r="C8" s="1" t="s">
        <v>71</v>
      </c>
      <c r="D8" s="1" t="s">
        <v>14</v>
      </c>
      <c r="E8" s="1" t="s">
        <v>72</v>
      </c>
      <c r="F8" s="1" t="s">
        <v>14</v>
      </c>
      <c r="G8" s="1" t="s">
        <v>36</v>
      </c>
      <c r="H8" s="1" t="s">
        <v>73</v>
      </c>
      <c r="I8" s="3" t="s">
        <v>74</v>
      </c>
      <c r="J8" s="1" t="s">
        <v>30</v>
      </c>
      <c r="K8" s="4">
        <v>3</v>
      </c>
      <c r="L8" s="4">
        <v>4</v>
      </c>
      <c r="M8" s="1" t="s">
        <v>75</v>
      </c>
      <c r="N8" s="7">
        <v>46295</v>
      </c>
      <c r="O8" s="1" t="s">
        <v>76</v>
      </c>
    </row>
    <row r="9" spans="1:15" ht="20" x14ac:dyDescent="0.2">
      <c r="A9" s="1" t="s">
        <v>77</v>
      </c>
      <c r="B9" s="1" t="s">
        <v>78</v>
      </c>
      <c r="C9" s="1" t="s">
        <v>79</v>
      </c>
      <c r="D9" s="1" t="s">
        <v>11</v>
      </c>
      <c r="E9" s="1" t="s">
        <v>80</v>
      </c>
      <c r="F9" s="1" t="s">
        <v>11</v>
      </c>
      <c r="G9" s="1" t="s">
        <v>27</v>
      </c>
      <c r="H9" s="1" t="s">
        <v>28</v>
      </c>
      <c r="I9" s="1" t="s">
        <v>81</v>
      </c>
      <c r="J9" s="1" t="s">
        <v>30</v>
      </c>
      <c r="K9" s="4">
        <v>4</v>
      </c>
      <c r="L9" s="4">
        <v>4</v>
      </c>
      <c r="M9" s="1" t="s">
        <v>82</v>
      </c>
      <c r="N9" s="7">
        <v>46188</v>
      </c>
      <c r="O9" s="1" t="s">
        <v>83</v>
      </c>
    </row>
    <row r="10" spans="1:15" ht="20" x14ac:dyDescent="0.2">
      <c r="A10" s="1" t="s">
        <v>84</v>
      </c>
      <c r="B10" s="1" t="s">
        <v>85</v>
      </c>
      <c r="C10" s="1" t="s">
        <v>86</v>
      </c>
      <c r="D10" s="1" t="s">
        <v>15</v>
      </c>
      <c r="E10" s="1" t="s">
        <v>87</v>
      </c>
      <c r="F10" s="1" t="s">
        <v>15</v>
      </c>
      <c r="G10" s="1" t="s">
        <v>88</v>
      </c>
      <c r="H10" s="1" t="s">
        <v>73</v>
      </c>
      <c r="I10" s="1" t="s">
        <v>89</v>
      </c>
      <c r="J10" s="1" t="s">
        <v>30</v>
      </c>
      <c r="K10" s="4">
        <v>2</v>
      </c>
      <c r="L10" s="4">
        <v>3</v>
      </c>
      <c r="M10" s="1" t="s">
        <v>90</v>
      </c>
      <c r="N10" s="7">
        <v>46234</v>
      </c>
      <c r="O10" s="1" t="s">
        <v>91</v>
      </c>
    </row>
    <row r="11" spans="1:15" ht="20" x14ac:dyDescent="0.2">
      <c r="A11" s="1" t="s">
        <v>92</v>
      </c>
      <c r="B11" s="1" t="s">
        <v>93</v>
      </c>
      <c r="C11" s="1" t="s">
        <v>94</v>
      </c>
      <c r="D11" s="1" t="s">
        <v>14</v>
      </c>
      <c r="E11" s="1" t="s">
        <v>95</v>
      </c>
      <c r="F11" s="1" t="s">
        <v>14</v>
      </c>
      <c r="G11" s="1" t="s">
        <v>96</v>
      </c>
      <c r="H11" s="1" t="s">
        <v>28</v>
      </c>
      <c r="I11" s="3" t="s">
        <v>97</v>
      </c>
      <c r="J11" s="1" t="s">
        <v>30</v>
      </c>
      <c r="K11" s="4">
        <v>3</v>
      </c>
      <c r="L11" s="4">
        <v>3</v>
      </c>
      <c r="M11" s="1" t="s">
        <v>98</v>
      </c>
      <c r="N11" s="7">
        <v>46265</v>
      </c>
      <c r="O11" s="1" t="s">
        <v>99</v>
      </c>
    </row>
  </sheetData>
  <conditionalFormatting sqref="F2:F11">
    <cfRule type="cellIs" dxfId="1" priority="1" operator="equal">
      <formula>"Medium"</formula>
    </cfRule>
    <cfRule type="cellIs" dxfId="0" priority="2" operator="equal">
      <formula>"High"</formula>
    </cfRule>
  </conditionalFormatting>
  <dataValidations count="3">
    <dataValidation type="whole" allowBlank="1" showInputMessage="1" showErrorMessage="1" sqref="K2:L11" xr:uid="{1D21E0A2-8937-D34C-8CF8-89560991F858}">
      <formula1>1</formula1>
      <formula2>5</formula2>
    </dataValidation>
    <dataValidation type="list" allowBlank="1" showInputMessage="1" showErrorMessage="1" sqref="H1:H11" xr:uid="{A3A78A2B-786A-4D4E-85DB-9DDB6E2FC547}">
      <formula1>"Not Started,In Progress,Mitigated"</formula1>
    </dataValidation>
    <dataValidation type="list" allowBlank="1" showInputMessage="1" showErrorMessage="1" sqref="B2:B11" xr:uid="{4ED121A9-391A-F24D-B273-743F1ACD5104}">
      <formula1>"Cloud Misconfiguration,Identity &amp; Access Mgmt,Data Residency,Vendor Lock-in,Insecure APIs,Lack of Visibility,Insider Threat,Backup &amp; Recovery,Cryptography &amp; Key Mgmt,Supply Chain / Third-Party"</formula1>
    </dataValidation>
  </dataValidations>
  <hyperlinks>
    <hyperlink ref="I7" r:id="rId1" display="https://de.ae/" xr:uid="{BBB62AC3-645E-7840-96CC-4CBDF2B51863}"/>
    <hyperlink ref="I8" r:id="rId2" display="https://pr.ac/" xr:uid="{297436C4-31AB-3742-BF9E-917C8A7C9F45}"/>
    <hyperlink ref="I11" r:id="rId3" display="https://id.sc/" xr:uid="{C80A17F0-DD58-6A4A-A410-4960E3E768A1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DF44-CB2A-1E43-8209-6C8FCBD0A4CA}">
  <dimension ref="A1:B13"/>
  <sheetViews>
    <sheetView tabSelected="1" workbookViewId="0">
      <selection activeCell="K12" sqref="K12"/>
    </sheetView>
  </sheetViews>
  <sheetFormatPr baseColWidth="10" defaultRowHeight="16" x14ac:dyDescent="0.2"/>
  <cols>
    <col min="1" max="1" width="18.5" bestFit="1" customWidth="1"/>
    <col min="2" max="2" width="14.33203125" bestFit="1" customWidth="1"/>
  </cols>
  <sheetData>
    <row r="1" spans="1:2" x14ac:dyDescent="0.2">
      <c r="A1" t="s">
        <v>100</v>
      </c>
      <c r="B1">
        <f>COUNTIF(Risk_Register_Detailed!F:F, "High")</f>
        <v>4</v>
      </c>
    </row>
    <row r="4" spans="1:2" x14ac:dyDescent="0.2">
      <c r="A4" s="5" t="s">
        <v>101</v>
      </c>
      <c r="B4" t="s">
        <v>103</v>
      </c>
    </row>
    <row r="5" spans="1:2" x14ac:dyDescent="0.2">
      <c r="A5" s="6" t="s">
        <v>51</v>
      </c>
      <c r="B5">
        <v>1</v>
      </c>
    </row>
    <row r="6" spans="1:2" x14ac:dyDescent="0.2">
      <c r="A6" s="6" t="s">
        <v>27</v>
      </c>
      <c r="B6">
        <v>2</v>
      </c>
    </row>
    <row r="7" spans="1:2" x14ac:dyDescent="0.2">
      <c r="A7" s="6" t="s">
        <v>43</v>
      </c>
      <c r="B7">
        <v>1</v>
      </c>
    </row>
    <row r="8" spans="1:2" x14ac:dyDescent="0.2">
      <c r="A8" s="6" t="s">
        <v>36</v>
      </c>
      <c r="B8">
        <v>2</v>
      </c>
    </row>
    <row r="9" spans="1:2" x14ac:dyDescent="0.2">
      <c r="A9" s="6" t="s">
        <v>59</v>
      </c>
      <c r="B9">
        <v>1</v>
      </c>
    </row>
    <row r="10" spans="1:2" x14ac:dyDescent="0.2">
      <c r="A10" s="6" t="s">
        <v>66</v>
      </c>
      <c r="B10">
        <v>1</v>
      </c>
    </row>
    <row r="11" spans="1:2" x14ac:dyDescent="0.2">
      <c r="A11" s="6" t="s">
        <v>88</v>
      </c>
      <c r="B11">
        <v>1</v>
      </c>
    </row>
    <row r="12" spans="1:2" x14ac:dyDescent="0.2">
      <c r="A12" s="6" t="s">
        <v>96</v>
      </c>
      <c r="B12">
        <v>1</v>
      </c>
    </row>
    <row r="13" spans="1:2" x14ac:dyDescent="0.2">
      <c r="A13" s="6" t="s">
        <v>102</v>
      </c>
      <c r="B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Risk_Register_Detailed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Alao (Student)</dc:creator>
  <cp:lastModifiedBy>Khalid Alao (Student)</cp:lastModifiedBy>
  <dcterms:created xsi:type="dcterms:W3CDTF">2026-04-02T19:49:56Z</dcterms:created>
  <dcterms:modified xsi:type="dcterms:W3CDTF">2026-04-06T02:56:43Z</dcterms:modified>
</cp:coreProperties>
</file>